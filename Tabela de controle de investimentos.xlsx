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25"/>
  <workbookPr/>
  <xr:revisionPtr revIDLastSave="0" documentId="8_{6796A0C7-D060-4E2C-A9E9-EAA83AA514EB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Finance_simulator" sheetId="1" r:id="rId1"/>
    <sheet name="Base_perfil" sheetId="2" r:id="rId2"/>
  </sheets>
  <definedNames>
    <definedName name="aporte">Finance_simulator!$D$14:$D$14</definedName>
    <definedName name="patrimonio">Finance_simulator!$D$17:$D$17</definedName>
    <definedName name="qtd_anos">Finance_simulator!$D$15:$D$15</definedName>
    <definedName name="rendimento_carteira">Finance_simulator!$D$10:$D$10</definedName>
    <definedName name="salario">Finance_simulator!$D$9:$D$9</definedName>
    <definedName name="sugestao_investimento">Finance_simulator!$D$11:$D$11</definedName>
    <definedName name="taxa_mensal">Finance_simulator!$D$16:$D$16</definedName>
    <definedName name="taxa_mensall">Finance_simulator!$D$16:$D$16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2" i="1" l="1"/>
  <c r="C33" i="1"/>
  <c r="C34" i="1"/>
  <c r="C35" i="1"/>
  <c r="C36" i="1"/>
  <c r="C31" i="1"/>
  <c r="A16" i="2"/>
  <c r="A17" i="2"/>
  <c r="A18" i="2"/>
  <c r="A19" i="2"/>
  <c r="A20" i="2"/>
  <c r="A15" i="2"/>
  <c r="A10" i="2"/>
  <c r="A11" i="2"/>
  <c r="A12" i="2"/>
  <c r="A13" i="2"/>
  <c r="A14" i="2"/>
  <c r="A9" i="2"/>
  <c r="A4" i="2"/>
  <c r="A5" i="2"/>
  <c r="A6" i="2"/>
  <c r="A7" i="2"/>
  <c r="A8" i="2"/>
  <c r="A3" i="2"/>
  <c r="C28" i="1"/>
  <c r="D11" i="1" a="1"/>
  <c r="D11" i="1"/>
  <c r="D17" i="1" a="1"/>
  <c r="D17" i="1"/>
  <c r="D18" i="1" s="1" a="1"/>
  <c r="D18" i="1" s="1"/>
  <c r="C22" i="1"/>
  <c r="D22" i="1" s="1" a="1"/>
  <c r="D22" i="1" s="1"/>
  <c r="C23" i="1"/>
  <c r="D23" i="1" s="1" a="1"/>
  <c r="D23" i="1" s="1"/>
  <c r="C24" i="1"/>
  <c r="D24" i="1" s="1" a="1"/>
  <c r="D24" i="1" s="1"/>
  <c r="C25" i="1"/>
  <c r="D25" i="1" s="1" a="1"/>
  <c r="D25" i="1" s="1"/>
  <c r="C21" i="1"/>
  <c r="D21" i="1" s="1" a="1"/>
  <c r="D21" i="1" s="1"/>
  <c r="D31" i="1" l="1"/>
  <c r="D32" i="1"/>
  <c r="D33" i="1"/>
  <c r="D34" i="1"/>
  <c r="D35" i="1"/>
  <c r="D36" i="1"/>
  <c r="D37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<sst xmlns="http://schemas.openxmlformats.org/spreadsheetml/2006/main" count="70" uniqueCount="34">
  <si>
    <t xml:space="preserve">INFORMAÇÕES BÁSICAS </t>
  </si>
  <si>
    <t>Salário atual</t>
  </si>
  <si>
    <t>Rendimento Carteira</t>
  </si>
  <si>
    <t>Sugestão de investimento (30%)</t>
  </si>
  <si>
    <t>DEFINIÇÃO DE APORTE</t>
  </si>
  <si>
    <t>Quanto investir por mês?</t>
  </si>
  <si>
    <t>Quantos anos devo investir?</t>
  </si>
  <si>
    <t>taxa de rendimento mensal?</t>
  </si>
  <si>
    <t>Quanto de patrimônio total acumulado?</t>
  </si>
  <si>
    <t>Quanto de dividendo mensais?</t>
  </si>
  <si>
    <t>CENÁRIOS FUTUROS</t>
  </si>
  <si>
    <t>Dividendos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</si>
  <si>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</si>
  <si>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</si>
  <si>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</si>
  <si>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</si>
  <si>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</si>
  <si>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</si>
  <si>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</si>
  <si>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VALOR A SER INVESTIDO POR MÊS</t>
  </si>
  <si>
    <t>TIPO DE FII</t>
  </si>
  <si>
    <t>Percentual sugerido</t>
  </si>
  <si>
    <t>Valores</t>
  </si>
  <si>
    <t>PAPEL</t>
  </si>
  <si>
    <t>TIJOLO</t>
  </si>
  <si>
    <t>HÍBRIDOS</t>
  </si>
  <si>
    <t>FOFs</t>
  </si>
  <si>
    <t>DESENVOLVIMENTO</t>
  </si>
  <si>
    <t>HOTELARIAS</t>
  </si>
  <si>
    <t>TOTAL</t>
  </si>
  <si>
    <t>CHAVE</t>
  </si>
  <si>
    <t>%</t>
  </si>
  <si>
    <t>Conservador</t>
  </si>
  <si>
    <t>Agressivo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</si>
</sst>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R$&quot;\ #,##0.00;[Red]\-&quot;R$&quot;\ #,##0.00"/>
    <numFmt numFmtId="164" formatCode="_-[$R$-416]\ * #,##0.00_-;\-[$R$-416]\ * #,##0.00_-;_-[$R$-416]\ * &quot;-&quot;??_-;_-@_-"/>
    <numFmt numFmtId="165" formatCode="&quot;R$&quot;\ #,##0.00"/>
  </numFmts>
  <fonts count="1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6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20"/>
      <color theme="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1"/>
      <color rgb="FF9C5700"/>
      <name val="Calibri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0"/>
      <name val="Calibri"/>
      <scheme val="minor"/>
    </font>
    <font>
      <sz val="12"/>
      <color theme="0"/>
      <name val="Calibri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EB9C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2DBA82"/>
        <bgColor indexed="64"/>
      </patternFill>
    </fill>
  </fills>
  <borders count="27">
    <border>
      <left/>
      <right/>
      <top/>
      <bottom/>
      <diagonal/>
    </border>
    <border>
      <left style="medium">
        <color rgb="FF000000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/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rgb="FF000000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medium">
        <color rgb="FF000000"/>
      </right>
      <top style="thin">
        <color theme="2" tint="-9.9978637043366805E-2"/>
      </top>
      <bottom style="medium">
        <color rgb="FF000000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rgb="FF000000"/>
      </bottom>
      <diagonal/>
    </border>
    <border>
      <left style="medium">
        <color theme="1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/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theme="1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medium">
        <color theme="1"/>
      </bottom>
      <diagonal/>
    </border>
    <border>
      <left style="thin">
        <color theme="2" tint="-9.9978637043366805E-2"/>
      </left>
      <right style="medium">
        <color theme="1"/>
      </right>
      <top style="thin">
        <color theme="2" tint="-9.9978637043366805E-2"/>
      </top>
      <bottom style="medium">
        <color theme="1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6" fillId="3" borderId="0" applyNumberFormat="0" applyBorder="0" applyAlignment="0" applyProtection="0"/>
  </cellStyleXfs>
  <cellXfs count="71">
    <xf numFmtId="0" fontId="0" fillId="0" borderId="0" xfId="0"/>
    <xf numFmtId="0" fontId="3" fillId="0" borderId="0" xfId="0" applyFont="1"/>
    <xf numFmtId="10" fontId="0" fillId="0" borderId="4" xfId="0" applyNumberFormat="1" applyBorder="1" applyAlignment="1">
      <alignment horizontal="left"/>
    </xf>
    <xf numFmtId="165" fontId="0" fillId="0" borderId="2" xfId="0" applyNumberFormat="1" applyBorder="1" applyAlignment="1">
      <alignment horizontal="left"/>
    </xf>
    <xf numFmtId="165" fontId="0" fillId="0" borderId="6" xfId="0" applyNumberFormat="1" applyBorder="1" applyAlignment="1">
      <alignment horizontal="left"/>
    </xf>
    <xf numFmtId="0" fontId="0" fillId="0" borderId="0" xfId="0" applyAlignment="1">
      <alignment horizontal="center"/>
    </xf>
    <xf numFmtId="8" fontId="1" fillId="4" borderId="4" xfId="0" applyNumberFormat="1" applyFont="1" applyFill="1" applyBorder="1" applyAlignment="1">
      <alignment horizontal="center" wrapText="1"/>
    </xf>
    <xf numFmtId="8" fontId="1" fillId="4" borderId="6" xfId="0" applyNumberFormat="1" applyFont="1" applyFill="1" applyBorder="1" applyAlignment="1">
      <alignment horizontal="center" wrapText="1"/>
    </xf>
    <xf numFmtId="0" fontId="0" fillId="0" borderId="0" xfId="0" applyBorder="1"/>
    <xf numFmtId="0" fontId="0" fillId="0" borderId="0" xfId="0" applyAlignment="1">
      <alignment horizontal="left" indent="4"/>
    </xf>
    <xf numFmtId="0" fontId="7" fillId="4" borderId="10" xfId="0" applyFont="1" applyFill="1" applyBorder="1" applyAlignment="1">
      <alignment horizontal="left" indent="4"/>
    </xf>
    <xf numFmtId="0" fontId="7" fillId="4" borderId="12" xfId="0" applyFont="1" applyFill="1" applyBorder="1" applyAlignment="1">
      <alignment horizontal="left" indent="4"/>
    </xf>
    <xf numFmtId="0" fontId="7" fillId="4" borderId="14" xfId="0" applyFont="1" applyFill="1" applyBorder="1" applyAlignment="1">
      <alignment horizontal="left" indent="4"/>
    </xf>
    <xf numFmtId="9" fontId="0" fillId="0" borderId="0" xfId="0" applyNumberForma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/>
    </xf>
    <xf numFmtId="0" fontId="0" fillId="0" borderId="17" xfId="0" applyBorder="1"/>
    <xf numFmtId="0" fontId="0" fillId="0" borderId="17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8" xfId="0" applyBorder="1"/>
    <xf numFmtId="0" fontId="0" fillId="0" borderId="18" xfId="0" applyBorder="1" applyAlignment="1">
      <alignment horizontal="center"/>
    </xf>
    <xf numFmtId="9" fontId="0" fillId="0" borderId="17" xfId="0" applyNumberFormat="1" applyBorder="1" applyAlignment="1">
      <alignment horizontal="center"/>
    </xf>
    <xf numFmtId="9" fontId="0" fillId="0" borderId="0" xfId="0" applyNumberForma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1" fillId="4" borderId="19" xfId="0" applyFont="1" applyFill="1" applyBorder="1"/>
    <xf numFmtId="165" fontId="1" fillId="4" borderId="20" xfId="0" applyNumberFormat="1" applyFont="1" applyFill="1" applyBorder="1" applyAlignment="1">
      <alignment horizontal="center"/>
    </xf>
    <xf numFmtId="0" fontId="1" fillId="4" borderId="21" xfId="0" applyFont="1" applyFill="1" applyBorder="1"/>
    <xf numFmtId="0" fontId="0" fillId="0" borderId="22" xfId="0" applyBorder="1" applyAlignment="1">
      <alignment horizontal="center"/>
    </xf>
    <xf numFmtId="165" fontId="0" fillId="0" borderId="23" xfId="0" applyNumberFormat="1" applyBorder="1" applyAlignment="1">
      <alignment horizontal="right"/>
    </xf>
    <xf numFmtId="0" fontId="0" fillId="0" borderId="0" xfId="0" applyFill="1"/>
    <xf numFmtId="0" fontId="7" fillId="4" borderId="1" xfId="0" applyFont="1" applyFill="1" applyBorder="1" applyAlignment="1">
      <alignment horizontal="left" indent="4"/>
    </xf>
    <xf numFmtId="0" fontId="7" fillId="4" borderId="8" xfId="0" applyFont="1" applyFill="1" applyBorder="1" applyAlignment="1">
      <alignment horizontal="left" indent="4"/>
    </xf>
    <xf numFmtId="0" fontId="7" fillId="4" borderId="3" xfId="0" applyFont="1" applyFill="1" applyBorder="1" applyAlignment="1">
      <alignment horizontal="left" indent="4"/>
    </xf>
    <xf numFmtId="0" fontId="7" fillId="4" borderId="7" xfId="0" applyFont="1" applyFill="1" applyBorder="1" applyAlignment="1">
      <alignment horizontal="left" indent="4"/>
    </xf>
    <xf numFmtId="0" fontId="7" fillId="4" borderId="5" xfId="0" applyFont="1" applyFill="1" applyBorder="1" applyAlignment="1">
      <alignment horizontal="left" wrapText="1" indent="4"/>
    </xf>
    <xf numFmtId="0" fontId="7" fillId="4" borderId="9" xfId="0" applyFont="1" applyFill="1" applyBorder="1" applyAlignment="1">
      <alignment horizontal="left" wrapText="1" indent="4"/>
    </xf>
    <xf numFmtId="0" fontId="7" fillId="0" borderId="1" xfId="0" applyFont="1" applyBorder="1" applyAlignment="1">
      <alignment horizontal="left" wrapText="1" indent="4"/>
    </xf>
    <xf numFmtId="0" fontId="7" fillId="0" borderId="8" xfId="0" applyFont="1" applyBorder="1" applyAlignment="1">
      <alignment horizontal="left" wrapText="1" indent="4"/>
    </xf>
    <xf numFmtId="0" fontId="7" fillId="0" borderId="3" xfId="0" applyFont="1" applyBorder="1" applyAlignment="1">
      <alignment horizontal="left" wrapText="1" indent="4"/>
    </xf>
    <xf numFmtId="0" fontId="7" fillId="0" borderId="7" xfId="0" applyFont="1" applyBorder="1" applyAlignment="1">
      <alignment horizontal="left" wrapText="1" indent="4"/>
    </xf>
    <xf numFmtId="0" fontId="8" fillId="4" borderId="3" xfId="0" applyFont="1" applyFill="1" applyBorder="1" applyAlignment="1">
      <alignment horizontal="left" wrapText="1" indent="4"/>
    </xf>
    <xf numFmtId="0" fontId="8" fillId="4" borderId="7" xfId="0" applyFont="1" applyFill="1" applyBorder="1" applyAlignment="1">
      <alignment horizontal="left" wrapText="1" indent="4"/>
    </xf>
    <xf numFmtId="0" fontId="8" fillId="4" borderId="5" xfId="0" applyFont="1" applyFill="1" applyBorder="1" applyAlignment="1">
      <alignment horizontal="left" wrapText="1" indent="4"/>
    </xf>
    <xf numFmtId="0" fontId="8" fillId="4" borderId="9" xfId="0" applyFont="1" applyFill="1" applyBorder="1" applyAlignment="1">
      <alignment horizontal="left" wrapText="1" indent="4"/>
    </xf>
    <xf numFmtId="164" fontId="0" fillId="0" borderId="2" xfId="0" applyNumberFormat="1" applyFont="1" applyBorder="1" applyAlignment="1">
      <alignment horizontal="center" wrapText="1" indent="8"/>
    </xf>
    <xf numFmtId="0" fontId="0" fillId="0" borderId="4" xfId="0" applyFont="1" applyBorder="1" applyAlignment="1">
      <alignment horizontal="center" wrapText="1"/>
    </xf>
    <xf numFmtId="10" fontId="0" fillId="0" borderId="4" xfId="0" applyNumberFormat="1" applyFont="1" applyBorder="1" applyAlignment="1">
      <alignment horizontal="center" wrapText="1"/>
    </xf>
    <xf numFmtId="8" fontId="1" fillId="4" borderId="11" xfId="0" applyNumberFormat="1" applyFont="1" applyFill="1" applyBorder="1" applyAlignment="1"/>
    <xf numFmtId="8" fontId="1" fillId="4" borderId="13" xfId="0" applyNumberFormat="1" applyFont="1" applyFill="1" applyBorder="1" applyAlignment="1"/>
    <xf numFmtId="8" fontId="1" fillId="4" borderId="16" xfId="0" applyNumberFormat="1" applyFont="1" applyFill="1" applyBorder="1" applyAlignment="1"/>
    <xf numFmtId="8" fontId="1" fillId="4" borderId="8" xfId="0" applyNumberFormat="1" applyFont="1" applyFill="1" applyBorder="1" applyAlignment="1">
      <alignment horizontal="center"/>
    </xf>
    <xf numFmtId="8" fontId="1" fillId="4" borderId="7" xfId="0" applyNumberFormat="1" applyFont="1" applyFill="1" applyBorder="1" applyAlignment="1">
      <alignment horizontal="center"/>
    </xf>
    <xf numFmtId="8" fontId="1" fillId="4" borderId="15" xfId="0" applyNumberFormat="1" applyFont="1" applyFill="1" applyBorder="1" applyAlignment="1">
      <alignment horizontal="center"/>
    </xf>
    <xf numFmtId="0" fontId="2" fillId="2" borderId="24" xfId="0" applyFont="1" applyFill="1" applyBorder="1" applyAlignment="1">
      <alignment horizontal="left" vertical="center" indent="3"/>
    </xf>
    <xf numFmtId="0" fontId="2" fillId="2" borderId="25" xfId="0" applyFont="1" applyFill="1" applyBorder="1" applyAlignment="1">
      <alignment horizontal="left" vertical="center" indent="3"/>
    </xf>
    <xf numFmtId="0" fontId="2" fillId="2" borderId="26" xfId="0" applyFont="1" applyFill="1" applyBorder="1" applyAlignment="1">
      <alignment vertical="center"/>
    </xf>
    <xf numFmtId="0" fontId="4" fillId="2" borderId="24" xfId="0" applyFont="1" applyFill="1" applyBorder="1" applyAlignment="1">
      <alignment horizontal="left" vertical="center" indent="3"/>
    </xf>
    <xf numFmtId="0" fontId="4" fillId="2" borderId="25" xfId="0" applyFont="1" applyFill="1" applyBorder="1" applyAlignment="1">
      <alignment horizontal="left" vertical="center" indent="3"/>
    </xf>
    <xf numFmtId="0" fontId="5" fillId="2" borderId="26" xfId="0" applyFont="1" applyFill="1" applyBorder="1" applyAlignment="1">
      <alignment vertical="center"/>
    </xf>
    <xf numFmtId="0" fontId="1" fillId="5" borderId="24" xfId="0" applyFont="1" applyFill="1" applyBorder="1" applyAlignment="1">
      <alignment horizontal="center"/>
    </xf>
    <xf numFmtId="0" fontId="1" fillId="5" borderId="25" xfId="0" applyFont="1" applyFill="1" applyBorder="1" applyAlignment="1">
      <alignment horizontal="center"/>
    </xf>
    <xf numFmtId="0" fontId="1" fillId="5" borderId="26" xfId="0" applyFont="1" applyFill="1" applyBorder="1" applyAlignment="1">
      <alignment horizontal="center"/>
    </xf>
    <xf numFmtId="0" fontId="1" fillId="5" borderId="24" xfId="0" applyFont="1" applyFill="1" applyBorder="1"/>
    <xf numFmtId="0" fontId="0" fillId="5" borderId="25" xfId="0" applyFill="1" applyBorder="1"/>
    <xf numFmtId="165" fontId="1" fillId="5" borderId="26" xfId="0" applyNumberFormat="1" applyFont="1" applyFill="1" applyBorder="1"/>
    <xf numFmtId="0" fontId="2" fillId="6" borderId="24" xfId="0" applyFont="1" applyFill="1" applyBorder="1" applyAlignment="1">
      <alignment horizontal="left" vertical="center" indent="3"/>
    </xf>
    <xf numFmtId="0" fontId="2" fillId="6" borderId="25" xfId="0" applyFont="1" applyFill="1" applyBorder="1" applyAlignment="1">
      <alignment horizontal="left" vertical="center" indent="3"/>
    </xf>
    <xf numFmtId="0" fontId="2" fillId="6" borderId="26" xfId="0" applyFont="1" applyFill="1" applyBorder="1" applyAlignment="1">
      <alignment horizontal="center" vertical="center"/>
    </xf>
    <xf numFmtId="0" fontId="9" fillId="6" borderId="26" xfId="1" applyFont="1" applyFill="1" applyBorder="1"/>
    <xf numFmtId="0" fontId="10" fillId="6" borderId="24" xfId="1" applyFont="1" applyFill="1" applyBorder="1" applyAlignment="1"/>
    <xf numFmtId="0" fontId="10" fillId="6" borderId="25" xfId="1" applyFont="1" applyFill="1" applyBorder="1" applyAlignment="1">
      <alignment horizontal="center"/>
    </xf>
  </cellXfs>
  <cellStyles count="2">
    <cellStyle name="Neutro" xfId="1" builtinId="28"/>
    <cellStyle name="Normal" xfId="0" builtinId="0"/>
  </cellStyles>
  <dxfs count="0"/>
  <tableStyles count="0" defaultTableStyle="TableStyleMedium2" defaultPivotStyle="PivotStyleMedium9"/>
  <colors>
    <mruColors>
      <color rgb="FF2DBA82"/>
      <color rgb="FFFFD34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pieChart>
        <c:varyColors val="0"/>
        <c:ser>
          <c:idx val="0"/>
          <c:order val="0"/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767-4FD1-AC55-8A459F7704A4}"/>
              </c:ext>
            </c:extLst>
          </c:dPt>
          <c:dPt>
            <c:idx val="1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767-4FD1-AC55-8A459F7704A4}"/>
              </c:ext>
            </c:extLst>
          </c:dPt>
          <c:dPt>
            <c:idx val="2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7767-4FD1-AC55-8A459F7704A4}"/>
              </c:ext>
            </c:extLst>
          </c:dPt>
          <c:dPt>
            <c:idx val="3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7767-4FD1-AC55-8A459F7704A4}"/>
              </c:ext>
            </c:extLst>
          </c:dPt>
          <c:dPt>
            <c:idx val="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7767-4FD1-AC55-8A459F7704A4}"/>
              </c:ext>
            </c:extLst>
          </c:dPt>
          <c:dPt>
            <c:idx val="5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7767-4FD1-AC55-8A459F7704A4}"/>
              </c:ext>
            </c:extLst>
          </c:dPt>
          <c:dLbls>
            <c:spPr>
              <a:noFill/>
              <a:ln w="25400"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val>
            <c:numRef>
              <c:f>Finance_simulator!$C$31:$C$36</c:f>
              <c:numCache>
                <c:formatCode>0%</c:formatCode>
                <c:ptCount val="6"/>
                <c:pt idx="0">
                  <c:v>0.32</c:v>
                </c:pt>
                <c:pt idx="1">
                  <c:v>0.35</c:v>
                </c:pt>
                <c:pt idx="2">
                  <c:v>0.08</c:v>
                </c:pt>
                <c:pt idx="3">
                  <c:v>0.05</c:v>
                </c:pt>
                <c:pt idx="4">
                  <c:v>0.1</c:v>
                </c:pt>
                <c:pt idx="5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0F6-47F3-9141-C0D25D407E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571500</xdr:colOff>
      <xdr:row>0</xdr:row>
      <xdr:rowOff>47625</xdr:rowOff>
    </xdr:from>
    <xdr:to>
      <xdr:col>4</xdr:col>
      <xdr:colOff>28575</xdr:colOff>
      <xdr:row>6</xdr:row>
      <xdr:rowOff>57150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ACA16898-2ED0-715E-9BDD-29A4F82DE451}"/>
            </a:ext>
          </a:extLst>
        </xdr:cNvPr>
        <xdr:cNvSpPr txBox="1"/>
      </xdr:nvSpPr>
      <xdr:spPr>
        <a:xfrm>
          <a:off x="571500" y="47625"/>
          <a:ext cx="6372225" cy="1104900"/>
        </a:xfrm>
        <a:prstGeom prst="roundRect">
          <a:avLst/>
        </a:prstGeom>
        <a:solidFill>
          <a:schemeClr val="accent1">
            <a:lumMod val="40000"/>
            <a:lumOff val="60000"/>
          </a:schemeClr>
        </a:solidFill>
        <a:ln/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spcFirstLastPara="0" vertOverflow="clip" horzOverflow="clip" wrap="square" lIns="91440" tIns="45720" rIns="91440" bIns="45720" rtlCol="0" anchor="b">
          <a:noAutofit/>
        </a:bodyPr>
        <a:lstStyle/>
        <a:p>
          <a:pPr marL="0" indent="0" algn="ctr"/>
          <a:r>
            <a:rPr lang="en-US" sz="3600" b="0" i="0" u="sng">
              <a:solidFill>
                <a:schemeClr val="bg1"/>
              </a:solidFill>
              <a:latin typeface="HGGothicE" panose="020B0909000000000000" pitchFamily="49" charset="-128"/>
              <a:ea typeface="HGGothicE" panose="020B0909000000000000" pitchFamily="49" charset="-128"/>
            </a:rPr>
            <a:t>INVEST MAIS+</a:t>
          </a:r>
          <a:endParaRPr lang="en-US" sz="1100" b="0" i="0" u="sng">
            <a:solidFill>
              <a:schemeClr val="dk1"/>
            </a:solidFill>
            <a:latin typeface="HGGothicE" panose="020B0909000000000000" pitchFamily="49" charset="-128"/>
            <a:ea typeface="HGGothicE" panose="020B0909000000000000" pitchFamily="49" charset="-128"/>
          </a:endParaRPr>
        </a:p>
        <a:p>
          <a:pPr marL="0" indent="0" algn="ctr"/>
          <a:endParaRPr lang="en-US" sz="1100">
            <a:solidFill>
              <a:schemeClr val="dk1"/>
            </a:solidFill>
            <a:latin typeface="+mn-lt"/>
            <a:ea typeface="+mn-lt"/>
            <a:cs typeface="+mn-lt"/>
          </a:endParaRPr>
        </a:p>
      </xdr:txBody>
    </xdr:sp>
    <xdr:clientData/>
  </xdr:twoCellAnchor>
  <xdr:twoCellAnchor>
    <xdr:from>
      <xdr:col>1</xdr:col>
      <xdr:colOff>971550</xdr:colOff>
      <xdr:row>37</xdr:row>
      <xdr:rowOff>142875</xdr:rowOff>
    </xdr:from>
    <xdr:to>
      <xdr:col>3</xdr:col>
      <xdr:colOff>57150</xdr:colOff>
      <xdr:row>48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596553CF-7C0E-D5CF-BEE6-755DAE5C89DC}"/>
            </a:ext>
            <a:ext uri="{147F2762-F138-4A5C-976F-8EAC2B608ADB}">
              <a16:predDERef xmlns:a16="http://schemas.microsoft.com/office/drawing/2014/main" pred="{ACA16898-2ED0-715E-9BDD-29A4F82DE4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50"/>
  </sheetPr>
  <dimension ref="A1:K49"/>
  <sheetViews>
    <sheetView showGridLines="0" tabSelected="1" workbookViewId="0">
      <selection activeCell="C27" sqref="C27"/>
    </sheetView>
  </sheetViews>
  <sheetFormatPr defaultColWidth="0" defaultRowHeight="15" zeroHeight="1"/>
  <cols>
    <col min="1" max="1" width="9.140625" customWidth="1"/>
    <col min="2" max="2" width="40.5703125" customWidth="1"/>
    <col min="3" max="3" width="41.7109375" customWidth="1"/>
    <col min="4" max="4" width="13.5703125" customWidth="1"/>
    <col min="5" max="5" width="25.5703125" customWidth="1"/>
    <col min="6" max="6" width="22.5703125" hidden="1" customWidth="1"/>
    <col min="7" max="7" width="12" hidden="1" customWidth="1"/>
    <col min="8" max="10" width="9.140625" hidden="1" customWidth="1"/>
    <col min="11" max="11" width="9.140625" hidden="1"/>
  </cols>
  <sheetData>
    <row r="1" spans="2:4"/>
    <row r="2" spans="2:4"/>
    <row r="3" spans="2:4"/>
    <row r="4" spans="2:4"/>
    <row r="5" spans="2:4"/>
    <row r="6" spans="2:4" ht="11.25" customHeight="1"/>
    <row r="7" spans="2:4"/>
    <row r="8" spans="2:4" ht="21">
      <c r="B8" s="65" t="s">
        <v>0</v>
      </c>
      <c r="C8" s="66"/>
      <c r="D8" s="67"/>
    </row>
    <row r="9" spans="2:4" ht="15.75">
      <c r="B9" s="30" t="s">
        <v>1</v>
      </c>
      <c r="C9" s="31"/>
      <c r="D9" s="3">
        <v>2000</v>
      </c>
    </row>
    <row r="10" spans="2:4" ht="15.75">
      <c r="B10" s="32" t="s">
        <v>2</v>
      </c>
      <c r="C10" s="33"/>
      <c r="D10" s="2">
        <v>6.0000000000000001E-3</v>
      </c>
    </row>
    <row r="11" spans="2:4" ht="15.75">
      <c r="B11" s="34" t="s">
        <v>3</v>
      </c>
      <c r="C11" s="35"/>
      <c r="D11" s="4" cm="1">
        <f t="array" ref="D11">salario*30%</f>
        <v>600</v>
      </c>
    </row>
    <row r="12" spans="2:4"/>
    <row r="13" spans="2:4" ht="34.5" customHeight="1">
      <c r="B13" s="53" t="s">
        <v>4</v>
      </c>
      <c r="C13" s="54"/>
      <c r="D13" s="55"/>
    </row>
    <row r="14" spans="2:4" ht="16.5" customHeight="1">
      <c r="B14" s="36" t="s">
        <v>5</v>
      </c>
      <c r="C14" s="37"/>
      <c r="D14" s="44">
        <v>200</v>
      </c>
    </row>
    <row r="15" spans="2:4" ht="16.5" customHeight="1">
      <c r="B15" s="38" t="s">
        <v>6</v>
      </c>
      <c r="C15" s="39"/>
      <c r="D15" s="45">
        <v>5</v>
      </c>
    </row>
    <row r="16" spans="2:4" ht="16.5" customHeight="1">
      <c r="B16" s="38" t="s">
        <v>7</v>
      </c>
      <c r="C16" s="39"/>
      <c r="D16" s="46">
        <v>1.0789999999999999E-2</v>
      </c>
    </row>
    <row r="17" spans="1:5" ht="15.75">
      <c r="B17" s="40" t="s">
        <v>8</v>
      </c>
      <c r="C17" s="41"/>
      <c r="D17" s="6" cm="1">
        <f t="array" ref="D17">FV(taxa_mensal,qtd_anos*12,aporte*-1)</f>
        <v>16755.382799697527</v>
      </c>
    </row>
    <row r="18" spans="1:5" ht="15.75">
      <c r="B18" s="42" t="s">
        <v>9</v>
      </c>
      <c r="C18" s="43"/>
      <c r="D18" s="7" cm="1">
        <f t="array" ref="D18">patrimonio*rendimento_carteira</f>
        <v>100.53229679818516</v>
      </c>
    </row>
    <row r="19" spans="1:5"/>
    <row r="20" spans="1:5" ht="29.25" customHeight="1">
      <c r="B20" s="56" t="s">
        <v>10</v>
      </c>
      <c r="C20" s="57"/>
      <c r="D20" s="58" t="s">
        <v>11</v>
      </c>
    </row>
    <row r="21" spans="1:5" ht="15.75">
      <c r="A21" s="1">
        <v>2</v>
      </c>
      <c r="B21" s="10" t="s">
        <v>12</v>
      </c>
      <c r="C21" s="50">
        <f>FV($D$16,$A21*12,$D$14*-1)</f>
        <v>5445.5254595290435</v>
      </c>
      <c r="D21" s="47" cm="1">
        <f t="array" ref="D21">C21*rendimento_carteira</f>
        <v>32.673152757174265</v>
      </c>
      <c r="E21" s="8"/>
    </row>
    <row r="22" spans="1:5" ht="15.75">
      <c r="A22" s="1">
        <v>5</v>
      </c>
      <c r="B22" s="11" t="s">
        <v>13</v>
      </c>
      <c r="C22" s="51">
        <f>FV($D$16,$A22*12,$D$14*-1)</f>
        <v>16755.382799697527</v>
      </c>
      <c r="D22" s="48" cm="1">
        <f t="array" ref="D22">C22*rendimento_carteira</f>
        <v>100.53229679818516</v>
      </c>
      <c r="E22" s="9"/>
    </row>
    <row r="23" spans="1:5" ht="15.75">
      <c r="A23" s="1">
        <v>10</v>
      </c>
      <c r="B23" s="11" t="s">
        <v>14</v>
      </c>
      <c r="C23" s="51">
        <f>FV($D$16,$A23*12,$D$14*-1)</f>
        <v>48656.842506034438</v>
      </c>
      <c r="D23" s="48" cm="1">
        <f t="array" ref="D23">C23*rendimento_carteira</f>
        <v>291.94105503620665</v>
      </c>
    </row>
    <row r="24" spans="1:5" ht="15.75">
      <c r="A24" s="1">
        <v>20</v>
      </c>
      <c r="B24" s="11" t="s">
        <v>15</v>
      </c>
      <c r="C24" s="51">
        <f>FV($D$16,$A24*12,$D$14*-1)</f>
        <v>225039.68001941612</v>
      </c>
      <c r="D24" s="48" cm="1">
        <f t="array" ref="D24">C24*rendimento_carteira</f>
        <v>1350.2380801164968</v>
      </c>
    </row>
    <row r="25" spans="1:5" ht="15.75">
      <c r="A25" s="1">
        <v>30</v>
      </c>
      <c r="B25" s="12" t="s">
        <v>16</v>
      </c>
      <c r="C25" s="52">
        <f>FV($D$16,$A25*12,$D$14*-1)</f>
        <v>864433.93100094295</v>
      </c>
      <c r="D25" s="49" cm="1">
        <f t="array" ref="D25">C25*rendimento_carteira</f>
        <v>5186.6035860056581</v>
      </c>
    </row>
    <row r="26" spans="1:5"/>
    <row r="27" spans="1:5" ht="15.75">
      <c r="B27" s="69" t="s">
        <v>17</v>
      </c>
      <c r="C27" s="70" t="s">
        <v>18</v>
      </c>
      <c r="D27" s="68"/>
    </row>
    <row r="28" spans="1:5">
      <c r="B28" s="24" t="s">
        <v>19</v>
      </c>
      <c r="C28" s="25">
        <f>D14</f>
        <v>200</v>
      </c>
      <c r="D28" s="26"/>
    </row>
    <row r="29" spans="1:5"/>
    <row r="30" spans="1:5">
      <c r="B30" s="59" t="s">
        <v>20</v>
      </c>
      <c r="C30" s="60" t="s">
        <v>21</v>
      </c>
      <c r="D30" s="61" t="s">
        <v>22</v>
      </c>
    </row>
    <row r="31" spans="1:5">
      <c r="B31" s="27" t="s">
        <v>23</v>
      </c>
      <c r="C31" s="22">
        <f>VLOOKUP($C$27&amp;"-"&amp;B31,Base_perfil!$A:$D,4,FALSE)</f>
        <v>0.32</v>
      </c>
      <c r="D31" s="28">
        <f>C31*$C$28</f>
        <v>64</v>
      </c>
    </row>
    <row r="32" spans="1:5">
      <c r="B32" s="27" t="s">
        <v>24</v>
      </c>
      <c r="C32" s="22">
        <f>VLOOKUP($C$27&amp;"-"&amp;B32,Base_perfil!$A:$D,4,FALSE)</f>
        <v>0.35</v>
      </c>
      <c r="D32" s="28">
        <f t="shared" ref="D32:D36" si="0">C32*$C$28</f>
        <v>70</v>
      </c>
    </row>
    <row r="33" spans="2:4">
      <c r="B33" s="27" t="s">
        <v>25</v>
      </c>
      <c r="C33" s="22">
        <f>VLOOKUP($C$27&amp;"-"&amp;B33,Base_perfil!$A:$D,4,FALSE)</f>
        <v>0.08</v>
      </c>
      <c r="D33" s="28">
        <f t="shared" si="0"/>
        <v>16</v>
      </c>
    </row>
    <row r="34" spans="2:4">
      <c r="B34" s="27" t="s">
        <v>26</v>
      </c>
      <c r="C34" s="22">
        <f>VLOOKUP($C$27&amp;"-"&amp;B34,Base_perfil!$A:$D,4,FALSE)</f>
        <v>0.05</v>
      </c>
      <c r="D34" s="28">
        <f t="shared" si="0"/>
        <v>10</v>
      </c>
    </row>
    <row r="35" spans="2:4">
      <c r="B35" s="27" t="s">
        <v>27</v>
      </c>
      <c r="C35" s="22">
        <f>VLOOKUP($C$27&amp;"-"&amp;B35,Base_perfil!$A:$D,4,FALSE)</f>
        <v>0.1</v>
      </c>
      <c r="D35" s="28">
        <f t="shared" si="0"/>
        <v>20</v>
      </c>
    </row>
    <row r="36" spans="2:4">
      <c r="B36" s="27" t="s">
        <v>28</v>
      </c>
      <c r="C36" s="22">
        <f>VLOOKUP($C$27&amp;"-"&amp;B36,Base_perfil!$A:$D,4,FALSE)</f>
        <v>0.1</v>
      </c>
      <c r="D36" s="28">
        <f t="shared" si="0"/>
        <v>20</v>
      </c>
    </row>
    <row r="37" spans="2:4">
      <c r="B37" s="62" t="s">
        <v>29</v>
      </c>
      <c r="C37" s="63"/>
      <c r="D37" s="64">
        <f>SUM(D31:D36)</f>
        <v>200</v>
      </c>
    </row>
    <row r="38" spans="2:4"/>
    <row r="39" spans="2:4"/>
    <row r="40" spans="2:4"/>
    <row r="41" spans="2:4"/>
    <row r="42" spans="2:4"/>
    <row r="43" spans="2:4"/>
    <row r="44" spans="2:4"/>
    <row r="45" spans="2:4"/>
    <row r="46" spans="2:4"/>
    <row r="47" spans="2:4"/>
    <row r="48" spans="2:4"/>
    <row r="49"/>
  </sheetData>
  <mergeCells count="11">
    <mergeCell ref="B20:C20"/>
    <mergeCell ref="B14:C14"/>
    <mergeCell ref="B15:C15"/>
    <mergeCell ref="B16:C16"/>
    <mergeCell ref="B17:C17"/>
    <mergeCell ref="B18:C18"/>
    <mergeCell ref="B8:C8"/>
    <mergeCell ref="B9:C9"/>
    <mergeCell ref="B10:C10"/>
    <mergeCell ref="B11:C11"/>
    <mergeCell ref="B13:C13"/>
  </mergeCells>
  <dataValidations count="1">
    <dataValidation type="list" allowBlank="1" showInputMessage="1" showErrorMessage="1" sqref="C27" xr:uid="{9B639DC5-6E77-4EC7-A194-93C11D254AB1}">
      <formula1>"Conservador,Moderado,Agressivo"</formula1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CFA1C-F346-4617-BC74-7858595E90A7}">
  <sheetPr>
    <tabColor rgb="FFFFFF00"/>
  </sheetPr>
  <dimension ref="A2:H20"/>
  <sheetViews>
    <sheetView workbookViewId="0">
      <selection activeCell="J8" sqref="J8"/>
    </sheetView>
  </sheetViews>
  <sheetFormatPr defaultRowHeight="15"/>
  <cols>
    <col min="1" max="1" width="30.140625" bestFit="1" customWidth="1"/>
    <col min="2" max="2" width="11.85546875" bestFit="1" customWidth="1"/>
    <col min="3" max="3" width="18.42578125" bestFit="1" customWidth="1"/>
    <col min="7" max="7" width="16.7109375" bestFit="1" customWidth="1"/>
  </cols>
  <sheetData>
    <row r="2" spans="1:8">
      <c r="A2" s="14" t="s">
        <v>30</v>
      </c>
      <c r="B2" s="14" t="s">
        <v>17</v>
      </c>
      <c r="C2" s="15" t="s">
        <v>20</v>
      </c>
      <c r="D2" s="15" t="s">
        <v>31</v>
      </c>
    </row>
    <row r="3" spans="1:8">
      <c r="A3" t="str">
        <f>$B$3&amp;"-"&amp;C3</f>
        <v>Conservador-PAPEL</v>
      </c>
      <c r="B3" t="s">
        <v>32</v>
      </c>
      <c r="C3" s="5" t="s">
        <v>23</v>
      </c>
      <c r="D3" s="13">
        <v>0.3</v>
      </c>
      <c r="G3" s="29"/>
      <c r="H3" s="29"/>
    </row>
    <row r="4" spans="1:8">
      <c r="A4" t="str">
        <f t="shared" ref="A4:A8" si="0">$B$3&amp;"-"&amp;C4</f>
        <v>Conservador-TIJOLO</v>
      </c>
      <c r="B4" t="s">
        <v>32</v>
      </c>
      <c r="C4" s="5" t="s">
        <v>24</v>
      </c>
      <c r="D4" s="13">
        <v>0.5</v>
      </c>
      <c r="G4" s="29"/>
      <c r="H4" s="29"/>
    </row>
    <row r="5" spans="1:8">
      <c r="A5" t="str">
        <f t="shared" si="0"/>
        <v>Conservador-HÍBRIDOS</v>
      </c>
      <c r="B5" t="s">
        <v>32</v>
      </c>
      <c r="C5" s="5" t="s">
        <v>25</v>
      </c>
      <c r="D5" s="13">
        <v>0.1</v>
      </c>
    </row>
    <row r="6" spans="1:8">
      <c r="A6" t="str">
        <f t="shared" si="0"/>
        <v>Conservador-FOFs</v>
      </c>
      <c r="B6" t="s">
        <v>32</v>
      </c>
      <c r="C6" s="5" t="s">
        <v>26</v>
      </c>
      <c r="D6" s="13">
        <v>0.1</v>
      </c>
    </row>
    <row r="7" spans="1:8">
      <c r="A7" t="str">
        <f t="shared" si="0"/>
        <v>Conservador-DESENVOLVIMENTO</v>
      </c>
      <c r="B7" t="s">
        <v>32</v>
      </c>
      <c r="C7" s="5" t="s">
        <v>27</v>
      </c>
      <c r="D7" s="13">
        <v>0</v>
      </c>
    </row>
    <row r="8" spans="1:8">
      <c r="A8" t="str">
        <f t="shared" si="0"/>
        <v>Conservador-HOTELARIAS</v>
      </c>
      <c r="B8" t="s">
        <v>32</v>
      </c>
      <c r="C8" s="5" t="s">
        <v>28</v>
      </c>
      <c r="D8" s="13">
        <v>0</v>
      </c>
    </row>
    <row r="9" spans="1:8">
      <c r="A9" s="16" t="str">
        <f>$B$9&amp;"-"&amp;C9</f>
        <v>Moderado-PAPEL</v>
      </c>
      <c r="B9" s="16" t="s">
        <v>18</v>
      </c>
      <c r="C9" s="17" t="s">
        <v>23</v>
      </c>
      <c r="D9" s="21">
        <v>0.32</v>
      </c>
    </row>
    <row r="10" spans="1:8">
      <c r="A10" s="8" t="str">
        <f t="shared" ref="A10:A14" si="1">$B$9&amp;"-"&amp;C10</f>
        <v>Moderado-TIJOLO</v>
      </c>
      <c r="B10" s="8" t="s">
        <v>18</v>
      </c>
      <c r="C10" s="18" t="s">
        <v>24</v>
      </c>
      <c r="D10" s="22">
        <v>0.35</v>
      </c>
    </row>
    <row r="11" spans="1:8">
      <c r="A11" s="8" t="str">
        <f t="shared" si="1"/>
        <v>Moderado-HÍBRIDOS</v>
      </c>
      <c r="B11" s="8" t="s">
        <v>18</v>
      </c>
      <c r="C11" s="18" t="s">
        <v>25</v>
      </c>
      <c r="D11" s="22">
        <v>0.08</v>
      </c>
    </row>
    <row r="12" spans="1:8">
      <c r="A12" s="8" t="str">
        <f t="shared" si="1"/>
        <v>Moderado-FOFs</v>
      </c>
      <c r="B12" s="8" t="s">
        <v>18</v>
      </c>
      <c r="C12" s="18" t="s">
        <v>26</v>
      </c>
      <c r="D12" s="22">
        <v>0.05</v>
      </c>
    </row>
    <row r="13" spans="1:8">
      <c r="A13" s="8" t="str">
        <f t="shared" si="1"/>
        <v>Moderado-DESENVOLVIMENTO</v>
      </c>
      <c r="B13" s="8" t="s">
        <v>18</v>
      </c>
      <c r="C13" s="18" t="s">
        <v>27</v>
      </c>
      <c r="D13" s="22">
        <v>0.1</v>
      </c>
    </row>
    <row r="14" spans="1:8">
      <c r="A14" s="19" t="str">
        <f t="shared" si="1"/>
        <v>Moderado-HOTELARIAS</v>
      </c>
      <c r="B14" s="19" t="s">
        <v>18</v>
      </c>
      <c r="C14" s="20" t="s">
        <v>28</v>
      </c>
      <c r="D14" s="23">
        <v>0.1</v>
      </c>
    </row>
    <row r="15" spans="1:8">
      <c r="A15" t="str">
        <f>$B$15&amp;"-"&amp;C15</f>
        <v>Agressivo-PAPEL</v>
      </c>
      <c r="B15" t="s">
        <v>33</v>
      </c>
      <c r="C15" s="5" t="s">
        <v>23</v>
      </c>
      <c r="D15" s="13">
        <v>0.5</v>
      </c>
    </row>
    <row r="16" spans="1:8">
      <c r="A16" t="str">
        <f t="shared" ref="A16:A20" si="2">$B$15&amp;"-"&amp;C16</f>
        <v>Agressivo-TIJOLO</v>
      </c>
      <c r="B16" t="s">
        <v>33</v>
      </c>
      <c r="C16" s="5" t="s">
        <v>24</v>
      </c>
      <c r="D16" s="13">
        <v>0.1</v>
      </c>
    </row>
    <row r="17" spans="1:4">
      <c r="A17" t="str">
        <f t="shared" si="2"/>
        <v>Agressivo-HÍBRIDOS</v>
      </c>
      <c r="B17" t="s">
        <v>33</v>
      </c>
      <c r="C17" s="5" t="s">
        <v>25</v>
      </c>
      <c r="D17" s="13">
        <v>0.05</v>
      </c>
    </row>
    <row r="18" spans="1:4">
      <c r="A18" t="str">
        <f t="shared" si="2"/>
        <v>Agressivo-FOFs</v>
      </c>
      <c r="B18" t="s">
        <v>33</v>
      </c>
      <c r="C18" s="5" t="s">
        <v>26</v>
      </c>
      <c r="D18" s="13">
        <v>0.05</v>
      </c>
    </row>
    <row r="19" spans="1:4">
      <c r="A19" t="str">
        <f t="shared" si="2"/>
        <v>Agressivo-DESENVOLVIMENTO</v>
      </c>
      <c r="B19" t="s">
        <v>33</v>
      </c>
      <c r="C19" s="5" t="s">
        <v>27</v>
      </c>
      <c r="D19" s="13">
        <v>0.2</v>
      </c>
    </row>
    <row r="20" spans="1:4">
      <c r="A20" t="str">
        <f t="shared" si="2"/>
        <v>Agressivo-HOTELARIAS</v>
      </c>
      <c r="B20" t="s">
        <v>33</v>
      </c>
      <c r="C20" s="5" t="s">
        <v>28</v>
      </c>
      <c r="D20" s="13">
        <v>0.1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2026-05-25T20:06:43Z</dcterms:created>
  <dcterms:modified xsi:type="dcterms:W3CDTF">2026-05-28T19:59:37Z</dcterms:modified>
  <cp:category/>
  <cp:contentStatus/>
</cp:coreProperties>
</file>